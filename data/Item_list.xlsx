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bm-my.sharepoint.com/personal/agarg241_in_ibm_com/Documents/Desktop/Personal/Grocery-website/Grocery-website/data/"/>
    </mc:Choice>
  </mc:AlternateContent>
  <xr:revisionPtr revIDLastSave="0" documentId="8_{E916B94C-CEF6-4E7F-AE0D-8F72BA01A690}" xr6:coauthVersionLast="47" xr6:coauthVersionMax="47" xr10:uidLastSave="{00000000-0000-0000-0000-000000000000}"/>
  <bookViews>
    <workbookView xWindow="-110" yWindow="-110" windowWidth="19420" windowHeight="10300" xr2:uid="{640D3C7E-1CB0-4E7C-ADCF-0477F1FABB4D}"/>
  </bookViews>
  <sheets>
    <sheet name="Item Master" sheetId="1" r:id="rId1"/>
  </sheets>
  <definedNames>
    <definedName name="_xlnm._FilterDatabase" localSheetId="0" hidden="1">'Item Master'!$A$4:$F$105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9" i="1" l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</calcChain>
</file>

<file path=xl/sharedStrings.xml><?xml version="1.0" encoding="utf-8"?>
<sst xmlns="http://schemas.openxmlformats.org/spreadsheetml/2006/main" count="322" uniqueCount="120">
  <si>
    <t>🏪  RADHA RANI STORE — Item Master</t>
  </si>
  <si>
    <t>Manage your product catalog here | All fields are required for billing to work</t>
  </si>
  <si>
    <t>⚠️  Do NOT delete rows or change column order — VBA macros depend on this structure</t>
  </si>
  <si>
    <t>Item ID</t>
  </si>
  <si>
    <t>Item Name</t>
  </si>
  <si>
    <t>Category</t>
  </si>
  <si>
    <t>Unit</t>
  </si>
  <si>
    <t>Selling Price (₹)</t>
  </si>
  <si>
    <t>Moong Sabut 500gm</t>
  </si>
  <si>
    <t>Dal/Pulses</t>
  </si>
  <si>
    <t>packet</t>
  </si>
  <si>
    <t>Moong Chilka 500gm</t>
  </si>
  <si>
    <t>Moong Dhuli 500gm</t>
  </si>
  <si>
    <t>Urad Sabut 500gm</t>
  </si>
  <si>
    <t>Urad Chilka 500gm</t>
  </si>
  <si>
    <t>Urad Dhuli 500gm</t>
  </si>
  <si>
    <t>Arhar 500gm</t>
  </si>
  <si>
    <t>Kala Chana 500gm</t>
  </si>
  <si>
    <t>Chana Dal 500gm</t>
  </si>
  <si>
    <t>Kabali Chana 500gm</t>
  </si>
  <si>
    <t>Mix Daal 500gm</t>
  </si>
  <si>
    <t>Kali Masur 500gm</t>
  </si>
  <si>
    <t>Malka 500gm</t>
  </si>
  <si>
    <t>Rajma Chitra 500gm</t>
  </si>
  <si>
    <t>Rajma Jammu 500gm</t>
  </si>
  <si>
    <t>White Lobiya 500gm</t>
  </si>
  <si>
    <t>Red Lobiya 500gm</t>
  </si>
  <si>
    <t>Moth 500gm</t>
  </si>
  <si>
    <t>Khand 1Kg</t>
  </si>
  <si>
    <t>Sugar/Salt</t>
  </si>
  <si>
    <t>White Matar 500gm</t>
  </si>
  <si>
    <t>Bura 500gm</t>
  </si>
  <si>
    <t>Singhada Atta 250gm</t>
  </si>
  <si>
    <t>Rice/Grain</t>
  </si>
  <si>
    <t>Rajdhani Suji 500gm</t>
  </si>
  <si>
    <t>Rajdhani Besan 500gm</t>
  </si>
  <si>
    <t>Samak 250gm</t>
  </si>
  <si>
    <t>Jeera 100gm</t>
  </si>
  <si>
    <t>Spices</t>
  </si>
  <si>
    <t>Jeera 200gm</t>
  </si>
  <si>
    <t>Moti Saunf 100gm</t>
  </si>
  <si>
    <t>Barik Saunf 100gm</t>
  </si>
  <si>
    <t>Methi Dana 100gm</t>
  </si>
  <si>
    <t>Kalonji 50gm</t>
  </si>
  <si>
    <t>Rai 100gm</t>
  </si>
  <si>
    <t>Peeli Sarso 100gm</t>
  </si>
  <si>
    <t>Kali Sarso 100gm</t>
  </si>
  <si>
    <t>Ajwain 100gm</t>
  </si>
  <si>
    <t>Misri Daana 100gm</t>
  </si>
  <si>
    <t>Misri Daana 200gm</t>
  </si>
  <si>
    <t>Dhania Sabut 200gm</t>
  </si>
  <si>
    <t>Sabudana 200gm</t>
  </si>
  <si>
    <t>Tejpatta 50gm</t>
  </si>
  <si>
    <t>Kali Mirch 50gm</t>
  </si>
  <si>
    <t>Nariyal Powder 100gm</t>
  </si>
  <si>
    <t>Dry Fruits</t>
  </si>
  <si>
    <t>Anardana pisa 50gm</t>
  </si>
  <si>
    <t>Hing 20gm</t>
  </si>
  <si>
    <t>Mungfali Dana 200gm</t>
  </si>
  <si>
    <t>Khas Khas 100gm</t>
  </si>
  <si>
    <t>Alsi 100gm</t>
  </si>
  <si>
    <t>Makhana 100gm</t>
  </si>
  <si>
    <t>Makhana 250gm</t>
  </si>
  <si>
    <t>Poha 400gm</t>
  </si>
  <si>
    <t>Imli 200gm</t>
  </si>
  <si>
    <t>Mitha Soda 100gm</t>
  </si>
  <si>
    <t>Kala Namak 200gm</t>
  </si>
  <si>
    <t>Sendha Namak 200gm</t>
  </si>
  <si>
    <t>Badi Elaichi 25gm</t>
  </si>
  <si>
    <t>Choti Elaichi 10gm</t>
  </si>
  <si>
    <t>Choti Elaichi 50gm</t>
  </si>
  <si>
    <t>Long 10gm</t>
  </si>
  <si>
    <t>Dalchini 20gm</t>
  </si>
  <si>
    <t>Jaifal 4pc</t>
  </si>
  <si>
    <t>Javitri 10gm</t>
  </si>
  <si>
    <t>Lal Mirch Sabut 100gm</t>
  </si>
  <si>
    <t>Tatri 20gm</t>
  </si>
  <si>
    <t>Garam Masala 100gm</t>
  </si>
  <si>
    <t>Garam Masala Sabut 250gm</t>
  </si>
  <si>
    <t>Haldi Powder 200gm</t>
  </si>
  <si>
    <t>Amchur Powder 100gm</t>
  </si>
  <si>
    <t>Dhania Powder 200gm</t>
  </si>
  <si>
    <t>Mirch Kuti 200gm</t>
  </si>
  <si>
    <t>White Til 100gm</t>
  </si>
  <si>
    <t>Kala Til 100gm</t>
  </si>
  <si>
    <t>Sunflower seeds 100gm</t>
  </si>
  <si>
    <t>Pumpkin Seeds 100gm</t>
  </si>
  <si>
    <t>Breakfast Seeds 500gm</t>
  </si>
  <si>
    <t>Badam 250gm</t>
  </si>
  <si>
    <t>Kaju 250gm</t>
  </si>
  <si>
    <t>Akhrot 250gm</t>
  </si>
  <si>
    <t>Munakka 250gm</t>
  </si>
  <si>
    <t>Sendha Namak 1kg</t>
  </si>
  <si>
    <t>Maida 500gm</t>
  </si>
  <si>
    <t>Basmati Rice 1Kg</t>
  </si>
  <si>
    <t>Basmati Tibar 1Kg</t>
  </si>
  <si>
    <t>Basmati Dubar 1Kg</t>
  </si>
  <si>
    <t>Basmati Mogra 1Kg</t>
  </si>
  <si>
    <t>Kishmish 250gm</t>
  </si>
  <si>
    <t>Kharbooja Magaj 100gm</t>
  </si>
  <si>
    <t>Gound Katira 100gm</t>
  </si>
  <si>
    <t>Anjeer 250gm</t>
  </si>
  <si>
    <t>Dalia 400gm</t>
  </si>
  <si>
    <t>Sugar 1Kg</t>
  </si>
  <si>
    <t>MDH Deggi Mirch</t>
  </si>
  <si>
    <t>MDH Kashmiri Mirch</t>
  </si>
  <si>
    <t>MDH Chat Masala</t>
  </si>
  <si>
    <t>MDH Chana Masala</t>
  </si>
  <si>
    <t>MDH Pavbhaji Masala</t>
  </si>
  <si>
    <t>MDH Sambhar Masala</t>
  </si>
  <si>
    <t>Kishmish Special 250gm</t>
  </si>
  <si>
    <t>MDH Kasuri Methi</t>
  </si>
  <si>
    <t>Kanodia Pili Sarso Oil</t>
  </si>
  <si>
    <t>Oil</t>
  </si>
  <si>
    <t>Bambino Vermicelli 400g</t>
  </si>
  <si>
    <t>Kuttu Atta 250gm</t>
  </si>
  <si>
    <t>Ghee Amul/Mother Dairy</t>
  </si>
  <si>
    <t>MRP (₹)</t>
  </si>
  <si>
    <t>Vedic Atta 5 Kg</t>
  </si>
  <si>
    <t>Vedic Atta 10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</si>
</sst>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i/>
      <sz val="10"/>
      <color rgb="FFFFFFFF"/>
      <name val="Arial"/>
      <family val="2"/>
    </font>
    <font>
      <i/>
      <sz val="9"/>
      <color rgb="FF7B3F00"/>
      <name val="Arial"/>
      <family val="2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6B2C"/>
        <bgColor rgb="FFFFA500"/>
      </patternFill>
    </fill>
    <fill>
      <patternFill patternType="solid">
        <fgColor rgb="FFFFA500"/>
        <bgColor rgb="FFFFD700"/>
      </patternFill>
    </fill>
    <fill>
      <patternFill patternType="solid">
        <fgColor rgb="FFFFF2CC"/>
        <bgColor rgb="FFFFECEC"/>
      </patternFill>
    </fill>
    <fill>
      <patternFill patternType="solid">
        <fgColor rgb="FF006064"/>
        <bgColor rgb="FF1F5C99"/>
      </patternFill>
    </fill>
    <fill>
      <patternFill patternType="solid">
        <fgColor rgb="FFFFFFFF"/>
        <bgColor rgb="FFFFF8F0"/>
      </patternFill>
    </fill>
    <fill>
      <patternFill patternType="solid">
        <fgColor rgb="FFFFF8F0"/>
        <bgColor rgb="FFFFFFFF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B34A9-235A-4830-AA31-03B261D67EF1}">
  <sheetPr codeName="Sheet1">
    <tabColor rgb="FFFF6B2C"/>
  </sheetPr>
  <dimension ref="A1:H109"/>
  <sheetViews>
    <sheetView tabSelected="1" zoomScaleNormal="100" workbookViewId="0">
      <pane ySplit="4" topLeftCell="A102" activePane="bottomLeft" state="frozen"/>
      <selection pane="bottomLeft" activeCell="E109" sqref="A1:F109"/>
    </sheetView>
  </sheetViews>
  <sheetFormatPr defaultColWidth="8.6328125" defaultRowHeight="14.5" x14ac:dyDescent="0.35"/>
  <cols>
    <col min="1" max="1" width="12" customWidth="1"/>
    <col min="2" max="2" width="25" customWidth="1"/>
    <col min="3" max="3" width="18" customWidth="1"/>
    <col min="4" max="4" width="10" customWidth="1"/>
    <col min="5" max="5" width="16" customWidth="1"/>
    <col min="6" max="6" width="18" customWidth="1"/>
  </cols>
  <sheetData>
    <row r="1" spans="1:6" ht="39.75" customHeight="1" x14ac:dyDescent="0.35">
      <c r="A1" s="1" t="s">
        <v>0</v>
      </c>
      <c r="B1" s="1"/>
      <c r="C1" s="1"/>
      <c r="D1" s="1"/>
      <c r="E1" s="1"/>
      <c r="F1" s="1"/>
    </row>
    <row r="2" spans="1:6" ht="19.5" customHeight="1" x14ac:dyDescent="0.35">
      <c r="A2" s="2" t="s">
        <v>1</v>
      </c>
      <c r="B2" s="2"/>
      <c r="C2" s="2"/>
      <c r="D2" s="2"/>
      <c r="E2" s="2"/>
      <c r="F2" s="2"/>
    </row>
    <row r="3" spans="1:6" ht="15" customHeight="1" x14ac:dyDescent="0.35">
      <c r="A3" s="3" t="s">
        <v>2</v>
      </c>
      <c r="B3" s="3"/>
      <c r="C3" s="3"/>
      <c r="D3" s="3"/>
      <c r="E3" s="3"/>
      <c r="F3" s="3"/>
    </row>
    <row r="4" spans="1:6" ht="30" customHeight="1" x14ac:dyDescent="0.35">
      <c r="A4" s="4" t="s">
        <v>3</v>
      </c>
      <c r="B4" s="4" t="s">
        <v>4</v>
      </c>
      <c r="C4" s="4" t="s">
        <v>5</v>
      </c>
      <c r="D4" s="4" t="s">
        <v>6</v>
      </c>
      <c r="E4" s="4" t="s">
        <v>117</v>
      </c>
      <c r="F4" s="4" t="s">
        <v>7</v>
      </c>
    </row>
    <row r="5" spans="1:6" ht="15" customHeight="1" x14ac:dyDescent="0.35">
      <c r="A5" s="5" t="str">
        <f>IF(B5&lt;&gt;"","ITM-"&amp;TEXT(1,"000"),"")</f>
        <v>ITM-001</v>
      </c>
      <c r="B5" s="6" t="s">
        <v>8</v>
      </c>
      <c r="C5" s="6" t="s">
        <v>9</v>
      </c>
      <c r="D5" s="6" t="s">
        <v>10</v>
      </c>
      <c r="E5" s="6">
        <v>90</v>
      </c>
      <c r="F5" s="6">
        <v>67</v>
      </c>
    </row>
    <row r="6" spans="1:6" ht="15" customHeight="1" x14ac:dyDescent="0.35">
      <c r="A6" s="7" t="str">
        <f>IF(B6&lt;&gt;"","ITM-"&amp;TEXT(2,"000"),"")</f>
        <v>ITM-002</v>
      </c>
      <c r="B6" s="8" t="s">
        <v>11</v>
      </c>
      <c r="C6" s="8" t="s">
        <v>9</v>
      </c>
      <c r="D6" s="8" t="s">
        <v>10</v>
      </c>
      <c r="E6" s="6">
        <v>90</v>
      </c>
      <c r="F6" s="8">
        <v>69</v>
      </c>
    </row>
    <row r="7" spans="1:6" ht="15" customHeight="1" x14ac:dyDescent="0.35">
      <c r="A7" s="5" t="str">
        <f>IF(B7&lt;&gt;"","ITM-"&amp;TEXT(3,"000"),"")</f>
        <v>ITM-003</v>
      </c>
      <c r="B7" s="6" t="s">
        <v>12</v>
      </c>
      <c r="C7" s="6" t="s">
        <v>9</v>
      </c>
      <c r="D7" s="6" t="s">
        <v>10</v>
      </c>
      <c r="E7" s="6">
        <v>90</v>
      </c>
      <c r="F7" s="6">
        <v>74</v>
      </c>
    </row>
    <row r="8" spans="1:6" ht="15" customHeight="1" x14ac:dyDescent="0.35">
      <c r="A8" s="7" t="str">
        <f>IF(B8&lt;&gt;"","ITM-"&amp;TEXT(4,"000"),"")</f>
        <v>ITM-004</v>
      </c>
      <c r="B8" s="8" t="s">
        <v>13</v>
      </c>
      <c r="C8" s="8" t="s">
        <v>9</v>
      </c>
      <c r="D8" s="8" t="s">
        <v>10</v>
      </c>
      <c r="E8" s="6">
        <v>90</v>
      </c>
      <c r="F8" s="8">
        <v>73</v>
      </c>
    </row>
    <row r="9" spans="1:6" ht="15" customHeight="1" x14ac:dyDescent="0.35">
      <c r="A9" s="5" t="str">
        <f>IF(B9&lt;&gt;"","ITM-"&amp;TEXT(5,"000"),"")</f>
        <v>ITM-005</v>
      </c>
      <c r="B9" s="6" t="s">
        <v>14</v>
      </c>
      <c r="C9" s="8" t="s">
        <v>9</v>
      </c>
      <c r="D9" s="6" t="s">
        <v>10</v>
      </c>
      <c r="E9" s="6">
        <v>90</v>
      </c>
      <c r="F9" s="6">
        <v>75</v>
      </c>
    </row>
    <row r="10" spans="1:6" ht="15" customHeight="1" x14ac:dyDescent="0.35">
      <c r="A10" s="7" t="str">
        <f>IF(B10&lt;&gt;"","ITM-"&amp;TEXT(6,"000"),"")</f>
        <v>ITM-006</v>
      </c>
      <c r="B10" s="8" t="s">
        <v>15</v>
      </c>
      <c r="C10" s="8" t="s">
        <v>9</v>
      </c>
      <c r="D10" s="8" t="s">
        <v>10</v>
      </c>
      <c r="E10" s="6">
        <v>90</v>
      </c>
      <c r="F10" s="8">
        <v>83</v>
      </c>
    </row>
    <row r="11" spans="1:6" ht="15" customHeight="1" x14ac:dyDescent="0.35">
      <c r="A11" s="5" t="str">
        <f>IF(B11&lt;&gt;"","ITM-"&amp;TEXT(7,"000"),"")</f>
        <v>ITM-007</v>
      </c>
      <c r="B11" s="6" t="s">
        <v>16</v>
      </c>
      <c r="C11" s="8" t="s">
        <v>9</v>
      </c>
      <c r="D11" s="6" t="s">
        <v>10</v>
      </c>
      <c r="E11" s="6">
        <v>90</v>
      </c>
      <c r="F11" s="6">
        <v>83</v>
      </c>
    </row>
    <row r="12" spans="1:6" ht="15" customHeight="1" x14ac:dyDescent="0.35">
      <c r="A12" s="7" t="str">
        <f>IF(B12&lt;&gt;"","ITM-"&amp;TEXT(8,"000"),"")</f>
        <v>ITM-008</v>
      </c>
      <c r="B12" s="8" t="s">
        <v>17</v>
      </c>
      <c r="C12" s="8" t="s">
        <v>9</v>
      </c>
      <c r="D12" s="8" t="s">
        <v>10</v>
      </c>
      <c r="E12" s="6">
        <v>90</v>
      </c>
      <c r="F12" s="8">
        <v>52</v>
      </c>
    </row>
    <row r="13" spans="1:6" ht="15" customHeight="1" x14ac:dyDescent="0.35">
      <c r="A13" s="5" t="str">
        <f>IF(B13&lt;&gt;"","ITM-"&amp;TEXT(9,"000"),"")</f>
        <v>ITM-009</v>
      </c>
      <c r="B13" s="6" t="s">
        <v>18</v>
      </c>
      <c r="C13" s="8" t="s">
        <v>9</v>
      </c>
      <c r="D13" s="6" t="s">
        <v>10</v>
      </c>
      <c r="E13" s="6">
        <v>90</v>
      </c>
      <c r="F13" s="6">
        <v>52</v>
      </c>
    </row>
    <row r="14" spans="1:6" ht="15" customHeight="1" x14ac:dyDescent="0.35">
      <c r="A14" s="7" t="str">
        <f>IF(B14&lt;&gt;"","ITM-"&amp;TEXT(10,"000"),"")</f>
        <v>ITM-010</v>
      </c>
      <c r="B14" s="8" t="s">
        <v>19</v>
      </c>
      <c r="C14" s="8" t="s">
        <v>9</v>
      </c>
      <c r="D14" s="8" t="s">
        <v>10</v>
      </c>
      <c r="E14" s="6">
        <v>90</v>
      </c>
      <c r="F14" s="8">
        <v>63</v>
      </c>
    </row>
    <row r="15" spans="1:6" ht="15" customHeight="1" x14ac:dyDescent="0.35">
      <c r="A15" s="5" t="str">
        <f>IF(B15&lt;&gt;"","ITM-"&amp;TEXT(11,"000"),"")</f>
        <v>ITM-011</v>
      </c>
      <c r="B15" s="6" t="s">
        <v>20</v>
      </c>
      <c r="C15" s="8" t="s">
        <v>9</v>
      </c>
      <c r="D15" s="6" t="s">
        <v>10</v>
      </c>
      <c r="E15" s="6">
        <v>90</v>
      </c>
      <c r="F15" s="6">
        <v>71</v>
      </c>
    </row>
    <row r="16" spans="1:6" ht="15" customHeight="1" x14ac:dyDescent="0.35">
      <c r="A16" s="7" t="str">
        <f>IF(B16&lt;&gt;"","ITM-"&amp;TEXT(12,"000"),"")</f>
        <v>ITM-012</v>
      </c>
      <c r="B16" s="8" t="s">
        <v>21</v>
      </c>
      <c r="C16" s="8" t="s">
        <v>9</v>
      </c>
      <c r="D16" s="8" t="s">
        <v>10</v>
      </c>
      <c r="E16" s="6">
        <v>90</v>
      </c>
      <c r="F16" s="8">
        <v>58</v>
      </c>
    </row>
    <row r="17" spans="1:6" ht="15" customHeight="1" x14ac:dyDescent="0.35">
      <c r="A17" s="5" t="str">
        <f>IF(B17&lt;&gt;"","ITM-"&amp;TEXT(13,"000"),"")</f>
        <v>ITM-013</v>
      </c>
      <c r="B17" s="6" t="s">
        <v>22</v>
      </c>
      <c r="C17" s="8" t="s">
        <v>9</v>
      </c>
      <c r="D17" s="6" t="s">
        <v>10</v>
      </c>
      <c r="E17" s="6">
        <v>90</v>
      </c>
      <c r="F17" s="6">
        <v>55</v>
      </c>
    </row>
    <row r="18" spans="1:6" ht="15" customHeight="1" x14ac:dyDescent="0.35">
      <c r="A18" s="7" t="str">
        <f>IF(B18&lt;&gt;"","ITM-"&amp;TEXT(14,"000"),"")</f>
        <v>ITM-014</v>
      </c>
      <c r="B18" s="8" t="s">
        <v>23</v>
      </c>
      <c r="C18" s="8" t="s">
        <v>9</v>
      </c>
      <c r="D18" s="8" t="s">
        <v>10</v>
      </c>
      <c r="E18" s="6">
        <v>90</v>
      </c>
      <c r="F18" s="8">
        <v>80</v>
      </c>
    </row>
    <row r="19" spans="1:6" ht="15" customHeight="1" x14ac:dyDescent="0.35">
      <c r="A19" s="5" t="str">
        <f>IF(B19&lt;&gt;"","ITM-"&amp;TEXT(15,"000"),"")</f>
        <v>ITM-015</v>
      </c>
      <c r="B19" s="6" t="s">
        <v>24</v>
      </c>
      <c r="C19" s="8" t="s">
        <v>9</v>
      </c>
      <c r="D19" s="6" t="s">
        <v>10</v>
      </c>
      <c r="E19" s="6">
        <v>150</v>
      </c>
      <c r="F19" s="6">
        <v>110</v>
      </c>
    </row>
    <row r="20" spans="1:6" ht="15" customHeight="1" x14ac:dyDescent="0.35">
      <c r="A20" s="7" t="str">
        <f>IF(B20&lt;&gt;"","ITM-"&amp;TEXT(16,"000"),"")</f>
        <v>ITM-016</v>
      </c>
      <c r="B20" s="8" t="s">
        <v>25</v>
      </c>
      <c r="C20" s="8" t="s">
        <v>9</v>
      </c>
      <c r="D20" s="8" t="s">
        <v>10</v>
      </c>
      <c r="E20" s="8">
        <v>80</v>
      </c>
      <c r="F20" s="8">
        <v>64</v>
      </c>
    </row>
    <row r="21" spans="1:6" ht="15" customHeight="1" x14ac:dyDescent="0.35">
      <c r="A21" s="5" t="str">
        <f>IF(B21&lt;&gt;"","ITM-"&amp;TEXT(17,"000"),"")</f>
        <v>ITM-017</v>
      </c>
      <c r="B21" s="6" t="s">
        <v>26</v>
      </c>
      <c r="C21" s="8" t="s">
        <v>9</v>
      </c>
      <c r="D21" s="6" t="s">
        <v>10</v>
      </c>
      <c r="E21" s="6">
        <v>100</v>
      </c>
      <c r="F21" s="6">
        <v>82</v>
      </c>
    </row>
    <row r="22" spans="1:6" ht="15" customHeight="1" x14ac:dyDescent="0.35">
      <c r="A22" s="7" t="str">
        <f>IF(B22&lt;&gt;"","ITM-"&amp;TEXT(18,"000"),"")</f>
        <v>ITM-018</v>
      </c>
      <c r="B22" s="8" t="s">
        <v>27</v>
      </c>
      <c r="C22" s="8" t="s">
        <v>9</v>
      </c>
      <c r="D22" s="8" t="s">
        <v>10</v>
      </c>
      <c r="E22" s="8">
        <v>80</v>
      </c>
      <c r="F22" s="8">
        <v>61</v>
      </c>
    </row>
    <row r="23" spans="1:6" ht="15" customHeight="1" x14ac:dyDescent="0.35">
      <c r="A23" s="5" t="str">
        <f>IF(B23&lt;&gt;"","ITM-"&amp;TEXT(19,"000"),"")</f>
        <v>ITM-019</v>
      </c>
      <c r="B23" s="6" t="s">
        <v>28</v>
      </c>
      <c r="C23" s="8" t="s">
        <v>29</v>
      </c>
      <c r="D23" s="6" t="s">
        <v>10</v>
      </c>
      <c r="E23" s="6">
        <v>150</v>
      </c>
      <c r="F23" s="6">
        <v>110</v>
      </c>
    </row>
    <row r="24" spans="1:6" ht="15" customHeight="1" x14ac:dyDescent="0.35">
      <c r="A24" s="7" t="str">
        <f>IF(B24&lt;&gt;"","ITM-"&amp;TEXT(20,"000"),"")</f>
        <v>ITM-020</v>
      </c>
      <c r="B24" s="8" t="s">
        <v>30</v>
      </c>
      <c r="C24" s="8" t="s">
        <v>9</v>
      </c>
      <c r="D24" s="8" t="s">
        <v>10</v>
      </c>
      <c r="E24" s="8">
        <v>60</v>
      </c>
      <c r="F24" s="8">
        <v>42</v>
      </c>
    </row>
    <row r="25" spans="1:6" ht="15" customHeight="1" x14ac:dyDescent="0.35">
      <c r="A25" s="5" t="str">
        <f>IF(B25&lt;&gt;"","ITM-"&amp;TEXT(21,"000"),"")</f>
        <v>ITM-021</v>
      </c>
      <c r="B25" s="6" t="s">
        <v>31</v>
      </c>
      <c r="C25" s="6" t="s">
        <v>29</v>
      </c>
      <c r="D25" s="6" t="s">
        <v>10</v>
      </c>
      <c r="E25" s="6">
        <v>70</v>
      </c>
      <c r="F25" s="6">
        <v>46</v>
      </c>
    </row>
    <row r="26" spans="1:6" ht="15" customHeight="1" x14ac:dyDescent="0.35">
      <c r="A26" s="7" t="str">
        <f>IF(B26&lt;&gt;"","ITM-"&amp;TEXT(22,"000"),"")</f>
        <v>ITM-022</v>
      </c>
      <c r="B26" s="8" t="s">
        <v>32</v>
      </c>
      <c r="C26" s="8" t="s">
        <v>33</v>
      </c>
      <c r="D26" s="8" t="s">
        <v>10</v>
      </c>
      <c r="E26" s="8">
        <v>70</v>
      </c>
      <c r="F26" s="8">
        <v>45</v>
      </c>
    </row>
    <row r="27" spans="1:6" ht="15" customHeight="1" x14ac:dyDescent="0.35">
      <c r="A27" s="5" t="str">
        <f>IF(B27&lt;&gt;"","ITM-"&amp;TEXT(23,"000"),"")</f>
        <v>ITM-023</v>
      </c>
      <c r="B27" s="6" t="s">
        <v>34</v>
      </c>
      <c r="C27" s="8" t="s">
        <v>33</v>
      </c>
      <c r="D27" s="6" t="s">
        <v>10</v>
      </c>
      <c r="E27" s="6">
        <v>50</v>
      </c>
      <c r="F27" s="6">
        <v>30</v>
      </c>
    </row>
    <row r="28" spans="1:6" ht="15" customHeight="1" x14ac:dyDescent="0.35">
      <c r="A28" s="7" t="str">
        <f>IF(B28&lt;&gt;"","ITM-"&amp;TEXT(24,"000"),"")</f>
        <v>ITM-024</v>
      </c>
      <c r="B28" s="8" t="s">
        <v>35</v>
      </c>
      <c r="C28" s="8" t="s">
        <v>33</v>
      </c>
      <c r="D28" s="8" t="s">
        <v>10</v>
      </c>
      <c r="E28" s="8">
        <v>70</v>
      </c>
      <c r="F28" s="8">
        <v>55</v>
      </c>
    </row>
    <row r="29" spans="1:6" ht="15" customHeight="1" x14ac:dyDescent="0.35">
      <c r="A29" s="5" t="str">
        <f>IF(B29&lt;&gt;"","ITM-"&amp;TEXT(25,"000"),"")</f>
        <v>ITM-025</v>
      </c>
      <c r="B29" s="6" t="s">
        <v>36</v>
      </c>
      <c r="C29" s="8" t="s">
        <v>33</v>
      </c>
      <c r="D29" s="6" t="s">
        <v>10</v>
      </c>
      <c r="E29" s="6">
        <v>70</v>
      </c>
      <c r="F29" s="6">
        <v>45</v>
      </c>
    </row>
    <row r="30" spans="1:6" ht="15" customHeight="1" x14ac:dyDescent="0.35">
      <c r="A30" s="7" t="str">
        <f>IF(B30&lt;&gt;"","ITM-"&amp;TEXT(26,"000"),"")</f>
        <v>ITM-026</v>
      </c>
      <c r="B30" s="8" t="s">
        <v>37</v>
      </c>
      <c r="C30" s="8" t="s">
        <v>38</v>
      </c>
      <c r="D30" s="8" t="s">
        <v>10</v>
      </c>
      <c r="E30" s="8">
        <v>70</v>
      </c>
      <c r="F30" s="8">
        <v>42</v>
      </c>
    </row>
    <row r="31" spans="1:6" ht="15" customHeight="1" x14ac:dyDescent="0.35">
      <c r="A31" s="5" t="str">
        <f>IF(B31&lt;&gt;"","ITM-"&amp;TEXT(27,"000"),"")</f>
        <v>ITM-027</v>
      </c>
      <c r="B31" s="6" t="s">
        <v>39</v>
      </c>
      <c r="C31" s="8" t="s">
        <v>38</v>
      </c>
      <c r="D31" s="6" t="s">
        <v>10</v>
      </c>
      <c r="E31" s="6">
        <v>140</v>
      </c>
      <c r="F31" s="6">
        <v>84</v>
      </c>
    </row>
    <row r="32" spans="1:6" ht="15" customHeight="1" x14ac:dyDescent="0.35">
      <c r="A32" s="7" t="str">
        <f>IF(B32&lt;&gt;"","ITM-"&amp;TEXT(28,"000"),"")</f>
        <v>ITM-028</v>
      </c>
      <c r="B32" s="8" t="s">
        <v>40</v>
      </c>
      <c r="C32" s="8" t="s">
        <v>38</v>
      </c>
      <c r="D32" s="8" t="s">
        <v>10</v>
      </c>
      <c r="E32" s="8">
        <v>80</v>
      </c>
      <c r="F32" s="8">
        <v>57</v>
      </c>
    </row>
    <row r="33" spans="1:6" ht="15" customHeight="1" x14ac:dyDescent="0.35">
      <c r="A33" s="5" t="str">
        <f>IF(B33&lt;&gt;"","ITM-"&amp;TEXT(29,"000"),"")</f>
        <v>ITM-029</v>
      </c>
      <c r="B33" s="6" t="s">
        <v>41</v>
      </c>
      <c r="C33" s="8" t="s">
        <v>38</v>
      </c>
      <c r="D33" s="6" t="s">
        <v>10</v>
      </c>
      <c r="E33" s="6">
        <v>80</v>
      </c>
      <c r="F33" s="6">
        <v>56</v>
      </c>
    </row>
    <row r="34" spans="1:6" ht="15" customHeight="1" x14ac:dyDescent="0.35">
      <c r="A34" s="7" t="str">
        <f>IF(B34&lt;&gt;"","ITM-"&amp;TEXT(30,"000"),"")</f>
        <v>ITM-030</v>
      </c>
      <c r="B34" s="8" t="s">
        <v>42</v>
      </c>
      <c r="C34" s="8" t="s">
        <v>38</v>
      </c>
      <c r="D34" s="8" t="s">
        <v>10</v>
      </c>
      <c r="E34" s="8">
        <v>30</v>
      </c>
      <c r="F34" s="8">
        <v>20</v>
      </c>
    </row>
    <row r="35" spans="1:6" ht="15" customHeight="1" x14ac:dyDescent="0.35">
      <c r="A35" s="5" t="str">
        <f>IF(B35&lt;&gt;"","ITM-"&amp;TEXT(31,"000"),"")</f>
        <v>ITM-031</v>
      </c>
      <c r="B35" s="6" t="s">
        <v>43</v>
      </c>
      <c r="C35" s="8" t="s">
        <v>38</v>
      </c>
      <c r="D35" s="6" t="s">
        <v>10</v>
      </c>
      <c r="E35" s="6">
        <v>30</v>
      </c>
      <c r="F35" s="6">
        <v>20</v>
      </c>
    </row>
    <row r="36" spans="1:6" ht="15" customHeight="1" x14ac:dyDescent="0.35">
      <c r="A36" s="7" t="str">
        <f>IF(B36&lt;&gt;"","ITM-"&amp;TEXT(32,"000"),"")</f>
        <v>ITM-032</v>
      </c>
      <c r="B36" s="8" t="s">
        <v>44</v>
      </c>
      <c r="C36" s="8" t="s">
        <v>38</v>
      </c>
      <c r="D36" s="8" t="s">
        <v>10</v>
      </c>
      <c r="E36" s="8">
        <v>50</v>
      </c>
      <c r="F36" s="8">
        <v>35</v>
      </c>
    </row>
    <row r="37" spans="1:6" ht="15" customHeight="1" x14ac:dyDescent="0.35">
      <c r="A37" s="5" t="str">
        <f>IF(B37&lt;&gt;"","ITM-"&amp;TEXT(33,"000"),"")</f>
        <v>ITM-033</v>
      </c>
      <c r="B37" s="6" t="s">
        <v>45</v>
      </c>
      <c r="C37" s="8" t="s">
        <v>38</v>
      </c>
      <c r="D37" s="6" t="s">
        <v>10</v>
      </c>
      <c r="E37" s="6">
        <v>30</v>
      </c>
      <c r="F37" s="6">
        <v>20</v>
      </c>
    </row>
    <row r="38" spans="1:6" ht="15" customHeight="1" x14ac:dyDescent="0.35">
      <c r="A38" s="7" t="str">
        <f>IF(B38&lt;&gt;"","ITM-"&amp;TEXT(34,"000"),"")</f>
        <v>ITM-034</v>
      </c>
      <c r="B38" s="8" t="s">
        <v>46</v>
      </c>
      <c r="C38" s="8" t="s">
        <v>38</v>
      </c>
      <c r="D38" s="8" t="s">
        <v>10</v>
      </c>
      <c r="E38" s="8">
        <v>30</v>
      </c>
      <c r="F38" s="8">
        <v>20</v>
      </c>
    </row>
    <row r="39" spans="1:6" ht="15" customHeight="1" x14ac:dyDescent="0.35">
      <c r="A39" s="5" t="str">
        <f>IF(B39&lt;&gt;"","ITM-"&amp;TEXT(35,"000"),"")</f>
        <v>ITM-035</v>
      </c>
      <c r="B39" s="6" t="s">
        <v>47</v>
      </c>
      <c r="C39" s="8" t="s">
        <v>38</v>
      </c>
      <c r="D39" s="6" t="s">
        <v>10</v>
      </c>
      <c r="E39" s="6">
        <v>60</v>
      </c>
      <c r="F39" s="6">
        <v>47</v>
      </c>
    </row>
    <row r="40" spans="1:6" ht="15" customHeight="1" x14ac:dyDescent="0.35">
      <c r="A40" s="7" t="str">
        <f>IF(B40&lt;&gt;"","ITM-"&amp;TEXT(36,"000"),"")</f>
        <v>ITM-036</v>
      </c>
      <c r="B40" s="8" t="s">
        <v>48</v>
      </c>
      <c r="C40" s="8" t="s">
        <v>29</v>
      </c>
      <c r="D40" s="8" t="s">
        <v>10</v>
      </c>
      <c r="E40" s="8">
        <v>30</v>
      </c>
      <c r="F40" s="8">
        <v>15</v>
      </c>
    </row>
    <row r="41" spans="1:6" ht="15" customHeight="1" x14ac:dyDescent="0.35">
      <c r="A41" s="5" t="str">
        <f>IF(B41&lt;&gt;"","ITM-"&amp;TEXT(37,"000"),"")</f>
        <v>ITM-037</v>
      </c>
      <c r="B41" s="6" t="s">
        <v>49</v>
      </c>
      <c r="C41" s="6" t="s">
        <v>29</v>
      </c>
      <c r="D41" s="6" t="s">
        <v>10</v>
      </c>
      <c r="E41" s="6">
        <v>40</v>
      </c>
      <c r="F41" s="6">
        <v>25</v>
      </c>
    </row>
    <row r="42" spans="1:6" ht="15" customHeight="1" x14ac:dyDescent="0.35">
      <c r="A42" s="7" t="str">
        <f>IF(B42&lt;&gt;"","ITM-"&amp;TEXT(38,"000"),"")</f>
        <v>ITM-038</v>
      </c>
      <c r="B42" s="8" t="s">
        <v>50</v>
      </c>
      <c r="C42" s="8" t="s">
        <v>38</v>
      </c>
      <c r="D42" s="8" t="s">
        <v>10</v>
      </c>
      <c r="E42" s="8">
        <v>80</v>
      </c>
      <c r="F42" s="8">
        <v>65</v>
      </c>
    </row>
    <row r="43" spans="1:6" ht="15" customHeight="1" x14ac:dyDescent="0.35">
      <c r="A43" s="5" t="str">
        <f>IF(B43&lt;&gt;"","ITM-"&amp;TEXT(39,"000"),"")</f>
        <v>ITM-039</v>
      </c>
      <c r="B43" s="6" t="s">
        <v>51</v>
      </c>
      <c r="C43" s="6" t="s">
        <v>33</v>
      </c>
      <c r="D43" s="6" t="s">
        <v>10</v>
      </c>
      <c r="E43" s="6">
        <v>40</v>
      </c>
      <c r="F43" s="6">
        <v>27</v>
      </c>
    </row>
    <row r="44" spans="1:6" ht="15" customHeight="1" x14ac:dyDescent="0.35">
      <c r="A44" s="7" t="str">
        <f>IF(B44&lt;&gt;"","ITM-"&amp;TEXT(40,"000"),"")</f>
        <v>ITM-040</v>
      </c>
      <c r="B44" s="8" t="s">
        <v>52</v>
      </c>
      <c r="C44" s="8" t="s">
        <v>38</v>
      </c>
      <c r="D44" s="8" t="s">
        <v>10</v>
      </c>
      <c r="E44" s="8">
        <v>30</v>
      </c>
      <c r="F44" s="8">
        <v>20</v>
      </c>
    </row>
    <row r="45" spans="1:6" ht="15" customHeight="1" x14ac:dyDescent="0.35">
      <c r="A45" s="5" t="str">
        <f>IF(B45&lt;&gt;"","ITM-"&amp;TEXT(41,"000"),"")</f>
        <v>ITM-041</v>
      </c>
      <c r="B45" s="6" t="s">
        <v>53</v>
      </c>
      <c r="C45" s="6" t="s">
        <v>38</v>
      </c>
      <c r="D45" s="6" t="s">
        <v>10</v>
      </c>
      <c r="E45" s="6">
        <v>80</v>
      </c>
      <c r="F45" s="6">
        <v>55</v>
      </c>
    </row>
    <row r="46" spans="1:6" ht="15" customHeight="1" x14ac:dyDescent="0.35">
      <c r="A46" s="7" t="str">
        <f>IF(B46&lt;&gt;"","ITM-"&amp;TEXT(42,"000"),"")</f>
        <v>ITM-042</v>
      </c>
      <c r="B46" s="8" t="s">
        <v>54</v>
      </c>
      <c r="C46" s="8" t="s">
        <v>55</v>
      </c>
      <c r="D46" s="8" t="s">
        <v>10</v>
      </c>
      <c r="E46" s="8">
        <v>70</v>
      </c>
      <c r="F46" s="8">
        <v>51</v>
      </c>
    </row>
    <row r="47" spans="1:6" ht="15" customHeight="1" x14ac:dyDescent="0.35">
      <c r="A47" s="5" t="str">
        <f>IF(B47&lt;&gt;"","ITM-"&amp;TEXT(43,"000"),"")</f>
        <v>ITM-043</v>
      </c>
      <c r="B47" s="6" t="s">
        <v>56</v>
      </c>
      <c r="C47" s="6" t="s">
        <v>38</v>
      </c>
      <c r="D47" s="6" t="s">
        <v>10</v>
      </c>
      <c r="E47" s="6">
        <v>60</v>
      </c>
      <c r="F47" s="6">
        <v>40</v>
      </c>
    </row>
    <row r="48" spans="1:6" ht="15" customHeight="1" x14ac:dyDescent="0.35">
      <c r="A48" s="7" t="str">
        <f>IF(B48&lt;&gt;"","ITM-"&amp;TEXT(44,"000"),"")</f>
        <v>ITM-044</v>
      </c>
      <c r="B48" s="8" t="s">
        <v>57</v>
      </c>
      <c r="C48" s="8" t="s">
        <v>38</v>
      </c>
      <c r="D48" s="8" t="s">
        <v>10</v>
      </c>
      <c r="E48" s="8">
        <v>120</v>
      </c>
      <c r="F48" s="8">
        <v>90</v>
      </c>
    </row>
    <row r="49" spans="1:6" ht="15" customHeight="1" x14ac:dyDescent="0.35">
      <c r="A49" s="5" t="str">
        <f>IF(B49&lt;&gt;"","ITM-"&amp;TEXT(45,"000"),"")</f>
        <v>ITM-045</v>
      </c>
      <c r="B49" s="6" t="s">
        <v>58</v>
      </c>
      <c r="C49" s="6" t="s">
        <v>33</v>
      </c>
      <c r="D49" s="6" t="s">
        <v>10</v>
      </c>
      <c r="E49" s="6">
        <v>70</v>
      </c>
      <c r="F49" s="6">
        <v>49</v>
      </c>
    </row>
    <row r="50" spans="1:6" ht="15" customHeight="1" x14ac:dyDescent="0.35">
      <c r="A50" s="7" t="str">
        <f>IF(B50&lt;&gt;"","ITM-"&amp;TEXT(46,"000"),"")</f>
        <v>ITM-046</v>
      </c>
      <c r="B50" s="8" t="s">
        <v>59</v>
      </c>
      <c r="C50" s="8" t="s">
        <v>55</v>
      </c>
      <c r="D50" s="8" t="s">
        <v>10</v>
      </c>
      <c r="E50" s="8">
        <v>300</v>
      </c>
      <c r="F50" s="8">
        <v>220</v>
      </c>
    </row>
    <row r="51" spans="1:6" ht="15" customHeight="1" x14ac:dyDescent="0.35">
      <c r="A51" s="5" t="str">
        <f>IF(B51&lt;&gt;"","ITM-"&amp;TEXT(47,"000"),"")</f>
        <v>ITM-047</v>
      </c>
      <c r="B51" s="6" t="s">
        <v>60</v>
      </c>
      <c r="C51" s="6" t="s">
        <v>33</v>
      </c>
      <c r="D51" s="6" t="s">
        <v>10</v>
      </c>
      <c r="E51" s="6">
        <v>30</v>
      </c>
      <c r="F51" s="6">
        <v>20</v>
      </c>
    </row>
    <row r="52" spans="1:6" ht="15" customHeight="1" x14ac:dyDescent="0.35">
      <c r="A52" s="7" t="str">
        <f>IF(B52&lt;&gt;"","ITM-"&amp;TEXT(48,"000"),"")</f>
        <v>ITM-048</v>
      </c>
      <c r="B52" s="8" t="s">
        <v>61</v>
      </c>
      <c r="C52" s="8" t="s">
        <v>55</v>
      </c>
      <c r="D52" s="8" t="s">
        <v>10</v>
      </c>
      <c r="E52" s="8">
        <v>180</v>
      </c>
      <c r="F52" s="8">
        <v>155</v>
      </c>
    </row>
    <row r="53" spans="1:6" ht="15" customHeight="1" x14ac:dyDescent="0.35">
      <c r="A53" s="5" t="str">
        <f>IF(B53&lt;&gt;"","ITM-"&amp;TEXT(49,"000"),"")</f>
        <v>ITM-049</v>
      </c>
      <c r="B53" s="6" t="s">
        <v>62</v>
      </c>
      <c r="C53" s="6" t="s">
        <v>55</v>
      </c>
      <c r="D53" s="6" t="s">
        <v>10</v>
      </c>
      <c r="E53" s="6">
        <v>500</v>
      </c>
      <c r="F53" s="6">
        <v>350</v>
      </c>
    </row>
    <row r="54" spans="1:6" ht="15" customHeight="1" x14ac:dyDescent="0.35">
      <c r="A54" s="7" t="str">
        <f>IF(B54&lt;&gt;"","ITM-"&amp;TEXT(50,"000"),"")</f>
        <v>ITM-050</v>
      </c>
      <c r="B54" s="8" t="s">
        <v>63</v>
      </c>
      <c r="C54" s="8" t="s">
        <v>33</v>
      </c>
      <c r="D54" s="8" t="s">
        <v>10</v>
      </c>
      <c r="E54" s="8">
        <v>50</v>
      </c>
      <c r="F54" s="8">
        <v>35</v>
      </c>
    </row>
    <row r="55" spans="1:6" x14ac:dyDescent="0.35">
      <c r="A55" s="7" t="str">
        <f>IF(B55&lt;&gt;"","ITM-"&amp;TEXT(51,"000"),"")</f>
        <v>ITM-051</v>
      </c>
      <c r="B55" s="6" t="s">
        <v>64</v>
      </c>
      <c r="C55" s="6" t="s">
        <v>38</v>
      </c>
      <c r="D55" s="6" t="s">
        <v>10</v>
      </c>
      <c r="E55" s="6">
        <v>40</v>
      </c>
      <c r="F55" s="6">
        <v>30</v>
      </c>
    </row>
    <row r="56" spans="1:6" x14ac:dyDescent="0.35">
      <c r="A56" s="7" t="str">
        <f>IF(B56&lt;&gt;"","ITM-"&amp;TEXT(52,"000"),"")</f>
        <v>ITM-052</v>
      </c>
      <c r="B56" s="8" t="s">
        <v>65</v>
      </c>
      <c r="C56" s="8" t="s">
        <v>38</v>
      </c>
      <c r="D56" s="8" t="s">
        <v>10</v>
      </c>
      <c r="E56" s="8">
        <v>20</v>
      </c>
      <c r="F56" s="8">
        <v>12</v>
      </c>
    </row>
    <row r="57" spans="1:6" x14ac:dyDescent="0.35">
      <c r="A57" s="7" t="str">
        <f>IF(B57&lt;&gt;"","ITM-"&amp;TEXT(53,"000"),"")</f>
        <v>ITM-053</v>
      </c>
      <c r="B57" s="6" t="s">
        <v>66</v>
      </c>
      <c r="C57" s="6" t="s">
        <v>29</v>
      </c>
      <c r="D57" s="6" t="s">
        <v>10</v>
      </c>
      <c r="E57" s="6">
        <v>20</v>
      </c>
      <c r="F57" s="6">
        <v>12</v>
      </c>
    </row>
    <row r="58" spans="1:6" x14ac:dyDescent="0.35">
      <c r="A58" s="7" t="str">
        <f>IF(B58&lt;&gt;"","ITM-"&amp;TEXT(54,"000"),"")</f>
        <v>ITM-054</v>
      </c>
      <c r="B58" s="8" t="s">
        <v>67</v>
      </c>
      <c r="C58" s="8" t="s">
        <v>29</v>
      </c>
      <c r="D58" s="8" t="s">
        <v>10</v>
      </c>
      <c r="E58" s="8">
        <v>20</v>
      </c>
      <c r="F58" s="8">
        <v>15</v>
      </c>
    </row>
    <row r="59" spans="1:6" x14ac:dyDescent="0.35">
      <c r="A59" s="7" t="str">
        <f>IF(B59&lt;&gt;"","ITM-"&amp;TEXT(55,"000"),"")</f>
        <v>ITM-055</v>
      </c>
      <c r="B59" s="6" t="s">
        <v>68</v>
      </c>
      <c r="C59" s="6" t="s">
        <v>38</v>
      </c>
      <c r="D59" s="6" t="s">
        <v>10</v>
      </c>
      <c r="E59" s="6">
        <v>90</v>
      </c>
      <c r="F59" s="6">
        <v>70</v>
      </c>
    </row>
    <row r="60" spans="1:6" x14ac:dyDescent="0.35">
      <c r="A60" s="7" t="str">
        <f>IF(B60&lt;&gt;"","ITM-"&amp;TEXT(56,"000"),"")</f>
        <v>ITM-056</v>
      </c>
      <c r="B60" s="8" t="s">
        <v>69</v>
      </c>
      <c r="C60" s="6" t="s">
        <v>38</v>
      </c>
      <c r="D60" s="8" t="s">
        <v>10</v>
      </c>
      <c r="E60" s="8">
        <v>70</v>
      </c>
      <c r="F60" s="8">
        <v>45</v>
      </c>
    </row>
    <row r="61" spans="1:6" x14ac:dyDescent="0.35">
      <c r="A61" s="7" t="str">
        <f>IF(B61&lt;&gt;"","ITM-"&amp;TEXT(57,"000"),"")</f>
        <v>ITM-057</v>
      </c>
      <c r="B61" s="6" t="s">
        <v>70</v>
      </c>
      <c r="C61" s="6" t="s">
        <v>38</v>
      </c>
      <c r="D61" s="6" t="s">
        <v>10</v>
      </c>
      <c r="E61" s="6">
        <v>300</v>
      </c>
      <c r="F61" s="6">
        <v>220</v>
      </c>
    </row>
    <row r="62" spans="1:6" x14ac:dyDescent="0.35">
      <c r="A62" s="7" t="str">
        <f>IF(B62&lt;&gt;"","ITM-"&amp;TEXT(58,"000"),"")</f>
        <v>ITM-058</v>
      </c>
      <c r="B62" s="8" t="s">
        <v>71</v>
      </c>
      <c r="C62" s="6" t="s">
        <v>38</v>
      </c>
      <c r="D62" s="8" t="s">
        <v>10</v>
      </c>
      <c r="E62" s="8">
        <v>30</v>
      </c>
      <c r="F62" s="8">
        <v>18</v>
      </c>
    </row>
    <row r="63" spans="1:6" x14ac:dyDescent="0.35">
      <c r="A63" s="7" t="str">
        <f>IF(B63&lt;&gt;"","ITM-"&amp;TEXT(59,"000"),"")</f>
        <v>ITM-059</v>
      </c>
      <c r="B63" s="6" t="s">
        <v>72</v>
      </c>
      <c r="C63" s="6" t="s">
        <v>38</v>
      </c>
      <c r="D63" s="6" t="s">
        <v>10</v>
      </c>
      <c r="E63" s="6">
        <v>30</v>
      </c>
      <c r="F63" s="6">
        <v>20</v>
      </c>
    </row>
    <row r="64" spans="1:6" x14ac:dyDescent="0.35">
      <c r="A64" s="7" t="str">
        <f>IF(B64&lt;&gt;"","ITM-"&amp;TEXT(60,"000"),"")</f>
        <v>ITM-060</v>
      </c>
      <c r="B64" s="8" t="s">
        <v>73</v>
      </c>
      <c r="C64" s="6" t="s">
        <v>38</v>
      </c>
      <c r="D64" s="8" t="s">
        <v>10</v>
      </c>
      <c r="E64" s="8">
        <v>50</v>
      </c>
      <c r="F64" s="8">
        <v>35</v>
      </c>
    </row>
    <row r="65" spans="1:6" x14ac:dyDescent="0.35">
      <c r="A65" s="7" t="str">
        <f>IF(B65&lt;&gt;"","ITM-"&amp;TEXT(61,"000"),"")</f>
        <v>ITM-061</v>
      </c>
      <c r="B65" s="6" t="s">
        <v>74</v>
      </c>
      <c r="C65" s="6" t="s">
        <v>38</v>
      </c>
      <c r="D65" s="6" t="s">
        <v>10</v>
      </c>
      <c r="E65" s="6">
        <v>40</v>
      </c>
      <c r="F65" s="6">
        <v>30</v>
      </c>
    </row>
    <row r="66" spans="1:6" x14ac:dyDescent="0.35">
      <c r="A66" s="7" t="str">
        <f>IF(B66&lt;&gt;"","ITM-"&amp;TEXT(62,"000"),"")</f>
        <v>ITM-062</v>
      </c>
      <c r="B66" s="8" t="s">
        <v>75</v>
      </c>
      <c r="C66" s="6" t="s">
        <v>38</v>
      </c>
      <c r="D66" s="8" t="s">
        <v>10</v>
      </c>
      <c r="E66" s="8">
        <v>60</v>
      </c>
      <c r="F66" s="8">
        <v>45</v>
      </c>
    </row>
    <row r="67" spans="1:6" x14ac:dyDescent="0.35">
      <c r="A67" s="7" t="str">
        <f>IF(B67&lt;&gt;"","ITM-"&amp;TEXT(63,"000"),"")</f>
        <v>ITM-063</v>
      </c>
      <c r="B67" s="6" t="s">
        <v>76</v>
      </c>
      <c r="C67" s="6" t="s">
        <v>38</v>
      </c>
      <c r="D67" s="6" t="s">
        <v>10</v>
      </c>
      <c r="E67" s="6">
        <v>30</v>
      </c>
      <c r="F67" s="6">
        <v>20</v>
      </c>
    </row>
    <row r="68" spans="1:6" x14ac:dyDescent="0.35">
      <c r="A68" s="7" t="str">
        <f>IF(B68&lt;&gt;"","ITM-"&amp;TEXT(64,"000"),"")</f>
        <v>ITM-064</v>
      </c>
      <c r="B68" s="8" t="s">
        <v>77</v>
      </c>
      <c r="C68" s="6" t="s">
        <v>38</v>
      </c>
      <c r="D68" s="8" t="s">
        <v>10</v>
      </c>
      <c r="E68" s="8">
        <v>150</v>
      </c>
      <c r="F68" s="8">
        <v>100</v>
      </c>
    </row>
    <row r="69" spans="1:6" x14ac:dyDescent="0.35">
      <c r="A69" s="7" t="str">
        <f>IF(B69&lt;&gt;"","ITM-"&amp;TEXT(65,"000"),"")</f>
        <v>ITM-065</v>
      </c>
      <c r="B69" s="6" t="s">
        <v>78</v>
      </c>
      <c r="C69" s="6" t="s">
        <v>38</v>
      </c>
      <c r="D69" s="6" t="s">
        <v>10</v>
      </c>
      <c r="E69" s="6">
        <v>350</v>
      </c>
      <c r="F69" s="6">
        <v>250</v>
      </c>
    </row>
    <row r="70" spans="1:6" x14ac:dyDescent="0.35">
      <c r="A70" s="7" t="str">
        <f>IF(B70&lt;&gt;"","ITM-"&amp;TEXT(66,"000"),"")</f>
        <v>ITM-066</v>
      </c>
      <c r="B70" s="8" t="s">
        <v>79</v>
      </c>
      <c r="C70" s="6" t="s">
        <v>38</v>
      </c>
      <c r="D70" s="8" t="s">
        <v>10</v>
      </c>
      <c r="E70" s="8">
        <v>90</v>
      </c>
      <c r="F70" s="8">
        <v>72</v>
      </c>
    </row>
    <row r="71" spans="1:6" x14ac:dyDescent="0.35">
      <c r="A71" s="7" t="str">
        <f>IF(B71&lt;&gt;"","ITM-"&amp;TEXT(67,"000"),"")</f>
        <v>ITM-067</v>
      </c>
      <c r="B71" s="6" t="s">
        <v>80</v>
      </c>
      <c r="C71" s="6" t="s">
        <v>38</v>
      </c>
      <c r="D71" s="6" t="s">
        <v>10</v>
      </c>
      <c r="E71" s="6">
        <v>80</v>
      </c>
      <c r="F71" s="6">
        <v>50</v>
      </c>
    </row>
    <row r="72" spans="1:6" x14ac:dyDescent="0.35">
      <c r="A72" s="7" t="str">
        <f>IF(B72&lt;&gt;"","ITM-"&amp;TEXT(68,"000"),"")</f>
        <v>ITM-068</v>
      </c>
      <c r="B72" s="8" t="s">
        <v>81</v>
      </c>
      <c r="C72" s="6" t="s">
        <v>38</v>
      </c>
      <c r="D72" s="8" t="s">
        <v>10</v>
      </c>
      <c r="E72" s="8">
        <v>80</v>
      </c>
      <c r="F72" s="8">
        <v>60</v>
      </c>
    </row>
    <row r="73" spans="1:6" x14ac:dyDescent="0.35">
      <c r="A73" s="7" t="str">
        <f>IF(B73&lt;&gt;"","ITM-"&amp;TEXT(69,"000"),"")</f>
        <v>ITM-069</v>
      </c>
      <c r="B73" s="6" t="s">
        <v>82</v>
      </c>
      <c r="C73" s="6" t="s">
        <v>38</v>
      </c>
      <c r="D73" s="6" t="s">
        <v>10</v>
      </c>
      <c r="E73" s="6">
        <v>100</v>
      </c>
      <c r="F73" s="6">
        <v>85</v>
      </c>
    </row>
    <row r="74" spans="1:6" x14ac:dyDescent="0.35">
      <c r="A74" s="7" t="str">
        <f>IF(B74&lt;&gt;"","ITM-"&amp;TEXT(70,"000"),"")</f>
        <v>ITM-070</v>
      </c>
      <c r="B74" s="8" t="s">
        <v>83</v>
      </c>
      <c r="C74" s="6" t="s">
        <v>38</v>
      </c>
      <c r="D74" s="8" t="s">
        <v>10</v>
      </c>
      <c r="E74" s="8">
        <v>40</v>
      </c>
      <c r="F74" s="8">
        <v>30</v>
      </c>
    </row>
    <row r="75" spans="1:6" x14ac:dyDescent="0.35">
      <c r="A75" s="7" t="str">
        <f>IF(B75&lt;&gt;"","ITM-"&amp;TEXT(71,"000"),"")</f>
        <v>ITM-071</v>
      </c>
      <c r="B75" s="6" t="s">
        <v>84</v>
      </c>
      <c r="C75" s="6" t="s">
        <v>38</v>
      </c>
      <c r="D75" s="6" t="s">
        <v>10</v>
      </c>
      <c r="E75" s="6">
        <v>40</v>
      </c>
      <c r="F75" s="6">
        <v>25</v>
      </c>
    </row>
    <row r="76" spans="1:6" x14ac:dyDescent="0.35">
      <c r="A76" s="7" t="str">
        <f>IF(B76&lt;&gt;"","ITM-"&amp;TEXT(72,"000"),"")</f>
        <v>ITM-072</v>
      </c>
      <c r="B76" s="8" t="s">
        <v>85</v>
      </c>
      <c r="C76" s="6" t="s">
        <v>38</v>
      </c>
      <c r="D76" s="8" t="s">
        <v>10</v>
      </c>
      <c r="E76" s="8">
        <v>40</v>
      </c>
      <c r="F76" s="8">
        <v>25</v>
      </c>
    </row>
    <row r="77" spans="1:6" x14ac:dyDescent="0.35">
      <c r="A77" s="7" t="str">
        <f>IF(B77&lt;&gt;"","ITM-"&amp;TEXT(73,"000"),"")</f>
        <v>ITM-073</v>
      </c>
      <c r="B77" s="6" t="s">
        <v>86</v>
      </c>
      <c r="C77" s="6" t="s">
        <v>33</v>
      </c>
      <c r="D77" s="6" t="s">
        <v>10</v>
      </c>
      <c r="E77" s="6">
        <v>80</v>
      </c>
      <c r="F77" s="6">
        <v>60</v>
      </c>
    </row>
    <row r="78" spans="1:6" x14ac:dyDescent="0.35">
      <c r="A78" s="7" t="str">
        <f>IF(B78&lt;&gt;"","ITM-"&amp;TEXT(74,"000"),"")</f>
        <v>ITM-074</v>
      </c>
      <c r="B78" s="8" t="s">
        <v>87</v>
      </c>
      <c r="C78" s="6" t="s">
        <v>33</v>
      </c>
      <c r="D78" s="8" t="s">
        <v>10</v>
      </c>
      <c r="E78" s="8">
        <v>500</v>
      </c>
      <c r="F78" s="8">
        <v>300</v>
      </c>
    </row>
    <row r="79" spans="1:6" x14ac:dyDescent="0.35">
      <c r="A79" s="7" t="str">
        <f>IF(B79&lt;&gt;"","ITM-"&amp;TEXT(75,"000"),"")</f>
        <v>ITM-075</v>
      </c>
      <c r="B79" s="6" t="s">
        <v>88</v>
      </c>
      <c r="C79" s="6" t="s">
        <v>55</v>
      </c>
      <c r="D79" s="6" t="s">
        <v>10</v>
      </c>
      <c r="E79" s="6">
        <v>350</v>
      </c>
      <c r="F79" s="6">
        <v>250</v>
      </c>
    </row>
    <row r="80" spans="1:6" x14ac:dyDescent="0.35">
      <c r="A80" s="7" t="str">
        <f>IF(B80&lt;&gt;"","ITM-"&amp;TEXT(76,"000"),"")</f>
        <v>ITM-076</v>
      </c>
      <c r="B80" s="8" t="s">
        <v>89</v>
      </c>
      <c r="C80" s="6" t="s">
        <v>55</v>
      </c>
      <c r="D80" s="8" t="s">
        <v>10</v>
      </c>
      <c r="E80" s="8">
        <v>300</v>
      </c>
      <c r="F80" s="8">
        <v>260</v>
      </c>
    </row>
    <row r="81" spans="1:6" x14ac:dyDescent="0.35">
      <c r="A81" s="7" t="str">
        <f>IF(B81&lt;&gt;"","ITM-"&amp;TEXT(77,"000"),"")</f>
        <v>ITM-077</v>
      </c>
      <c r="B81" s="6" t="s">
        <v>90</v>
      </c>
      <c r="C81" s="6" t="s">
        <v>55</v>
      </c>
      <c r="D81" s="6" t="s">
        <v>10</v>
      </c>
      <c r="E81" s="6">
        <v>500</v>
      </c>
      <c r="F81" s="6">
        <v>400</v>
      </c>
    </row>
    <row r="82" spans="1:6" x14ac:dyDescent="0.35">
      <c r="A82" s="7" t="str">
        <f>IF(B82&lt;&gt;"","ITM-"&amp;TEXT(78,"000"),"")</f>
        <v>ITM-078</v>
      </c>
      <c r="B82" s="8" t="s">
        <v>91</v>
      </c>
      <c r="C82" s="6" t="s">
        <v>55</v>
      </c>
      <c r="D82" s="8" t="s">
        <v>10</v>
      </c>
      <c r="E82" s="8">
        <v>300</v>
      </c>
      <c r="F82" s="8">
        <v>240</v>
      </c>
    </row>
    <row r="83" spans="1:6" x14ac:dyDescent="0.35">
      <c r="A83" s="7" t="str">
        <f>IF(B83&lt;&gt;"","ITM-"&amp;TEXT(79,"000"),"")</f>
        <v>ITM-079</v>
      </c>
      <c r="B83" s="6" t="s">
        <v>92</v>
      </c>
      <c r="C83" s="6" t="s">
        <v>29</v>
      </c>
      <c r="D83" s="6" t="s">
        <v>10</v>
      </c>
      <c r="E83" s="6">
        <v>80</v>
      </c>
      <c r="F83" s="6">
        <v>50</v>
      </c>
    </row>
    <row r="84" spans="1:6" x14ac:dyDescent="0.35">
      <c r="A84" s="7" t="str">
        <f>IF(B84&lt;&gt;"","ITM-"&amp;TEXT(80,"000"),"")</f>
        <v>ITM-080</v>
      </c>
      <c r="B84" s="8" t="s">
        <v>93</v>
      </c>
      <c r="C84" s="6" t="s">
        <v>33</v>
      </c>
      <c r="D84" s="8" t="s">
        <v>10</v>
      </c>
      <c r="E84" s="8">
        <v>40</v>
      </c>
      <c r="F84" s="8">
        <v>30</v>
      </c>
    </row>
    <row r="85" spans="1:6" x14ac:dyDescent="0.35">
      <c r="A85" s="7" t="str">
        <f>IF(B85&lt;&gt;"","ITM-"&amp;TEXT(81,"000"),"")</f>
        <v>ITM-081</v>
      </c>
      <c r="B85" s="6" t="s">
        <v>94</v>
      </c>
      <c r="C85" s="6" t="s">
        <v>33</v>
      </c>
      <c r="D85" s="6" t="s">
        <v>10</v>
      </c>
      <c r="E85" s="6">
        <v>180</v>
      </c>
      <c r="F85" s="6">
        <v>135</v>
      </c>
    </row>
    <row r="86" spans="1:6" x14ac:dyDescent="0.35">
      <c r="A86" s="7" t="str">
        <f>IF(B86&lt;&gt;"","ITM-"&amp;TEXT(82,"000"),"")</f>
        <v>ITM-082</v>
      </c>
      <c r="B86" s="6" t="s">
        <v>95</v>
      </c>
      <c r="C86" s="6" t="s">
        <v>33</v>
      </c>
      <c r="D86" s="8" t="s">
        <v>10</v>
      </c>
      <c r="E86" s="8">
        <v>150</v>
      </c>
      <c r="F86" s="8">
        <v>100</v>
      </c>
    </row>
    <row r="87" spans="1:6" x14ac:dyDescent="0.35">
      <c r="A87" s="7" t="str">
        <f>IF(B87&lt;&gt;"","ITM-"&amp;TEXT(83,"000"),"")</f>
        <v>ITM-083</v>
      </c>
      <c r="B87" s="6" t="s">
        <v>96</v>
      </c>
      <c r="C87" s="6" t="s">
        <v>33</v>
      </c>
      <c r="D87" s="6" t="s">
        <v>10</v>
      </c>
      <c r="E87" s="6">
        <v>120</v>
      </c>
      <c r="F87" s="6">
        <v>95</v>
      </c>
    </row>
    <row r="88" spans="1:6" x14ac:dyDescent="0.35">
      <c r="A88" s="7" t="str">
        <f>IF(B88&lt;&gt;"","ITM-"&amp;TEXT(84,"000"),"")</f>
        <v>ITM-084</v>
      </c>
      <c r="B88" s="6" t="s">
        <v>97</v>
      </c>
      <c r="C88" s="6" t="s">
        <v>33</v>
      </c>
      <c r="D88" s="6" t="s">
        <v>10</v>
      </c>
      <c r="E88" s="8">
        <v>90</v>
      </c>
      <c r="F88" s="8">
        <v>75</v>
      </c>
    </row>
    <row r="89" spans="1:6" x14ac:dyDescent="0.35">
      <c r="A89" s="7" t="str">
        <f>IF(B89&lt;&gt;"","ITM-"&amp;TEXT(85,"000"),"")</f>
        <v>ITM-085</v>
      </c>
      <c r="B89" s="6" t="s">
        <v>98</v>
      </c>
      <c r="C89" s="6" t="s">
        <v>55</v>
      </c>
      <c r="D89" s="6" t="s">
        <v>10</v>
      </c>
      <c r="E89" s="6">
        <v>150</v>
      </c>
      <c r="F89" s="6">
        <v>130</v>
      </c>
    </row>
    <row r="90" spans="1:6" x14ac:dyDescent="0.35">
      <c r="A90" s="7" t="str">
        <f>IF(B90&lt;&gt;"","ITM-"&amp;TEXT(86,"000"),"")</f>
        <v>ITM-086</v>
      </c>
      <c r="B90" s="8" t="s">
        <v>99</v>
      </c>
      <c r="C90" s="6" t="s">
        <v>55</v>
      </c>
      <c r="D90" s="8" t="s">
        <v>10</v>
      </c>
      <c r="E90" s="8">
        <v>140</v>
      </c>
      <c r="F90" s="8">
        <v>90</v>
      </c>
    </row>
    <row r="91" spans="1:6" x14ac:dyDescent="0.35">
      <c r="A91" s="7" t="str">
        <f>IF(B91&lt;&gt;"","ITM-"&amp;TEXT(87,"000"),"")</f>
        <v>ITM-087</v>
      </c>
      <c r="B91" s="8" t="s">
        <v>50</v>
      </c>
      <c r="C91" s="8" t="s">
        <v>38</v>
      </c>
      <c r="D91" s="8" t="s">
        <v>10</v>
      </c>
      <c r="E91" s="6">
        <v>80</v>
      </c>
      <c r="F91" s="6">
        <v>54</v>
      </c>
    </row>
    <row r="92" spans="1:6" x14ac:dyDescent="0.35">
      <c r="A92" s="7" t="str">
        <f>IF(B92&lt;&gt;"","ITM-"&amp;TEXT(88,"000"),"")</f>
        <v>ITM-088</v>
      </c>
      <c r="B92" s="8" t="s">
        <v>100</v>
      </c>
      <c r="C92" s="6" t="s">
        <v>55</v>
      </c>
      <c r="D92" s="8" t="s">
        <v>10</v>
      </c>
      <c r="E92" s="8">
        <v>100</v>
      </c>
      <c r="F92" s="8">
        <v>75</v>
      </c>
    </row>
    <row r="93" spans="1:6" x14ac:dyDescent="0.35">
      <c r="A93" s="7" t="str">
        <f>IF(B93&lt;&gt;"","ITM-"&amp;TEXT(89,"000"),"")</f>
        <v>ITM-089</v>
      </c>
      <c r="B93" s="6" t="s">
        <v>101</v>
      </c>
      <c r="C93" s="6" t="s">
        <v>55</v>
      </c>
      <c r="D93" s="6" t="s">
        <v>10</v>
      </c>
      <c r="E93" s="6">
        <v>500</v>
      </c>
      <c r="F93" s="6">
        <v>300</v>
      </c>
    </row>
    <row r="94" spans="1:6" x14ac:dyDescent="0.35">
      <c r="A94" s="7" t="str">
        <f>IF(B94&lt;&gt;"","ITM-"&amp;TEXT(90,"000"),"")</f>
        <v>ITM-090</v>
      </c>
      <c r="B94" s="8" t="s">
        <v>102</v>
      </c>
      <c r="C94" s="6" t="s">
        <v>9</v>
      </c>
      <c r="D94" s="8" t="s">
        <v>10</v>
      </c>
      <c r="E94" s="8">
        <v>40</v>
      </c>
      <c r="F94" s="8">
        <v>25</v>
      </c>
    </row>
    <row r="95" spans="1:6" x14ac:dyDescent="0.35">
      <c r="A95" s="7" t="str">
        <f>IF(B95&lt;&gt;"","ITM-"&amp;TEXT(91,"000"),"")</f>
        <v>ITM-091</v>
      </c>
      <c r="B95" s="6" t="s">
        <v>103</v>
      </c>
      <c r="C95" s="6" t="s">
        <v>29</v>
      </c>
      <c r="D95" s="6" t="s">
        <v>10</v>
      </c>
      <c r="E95" s="6">
        <v>90</v>
      </c>
      <c r="F95" s="6">
        <v>70</v>
      </c>
    </row>
    <row r="96" spans="1:6" x14ac:dyDescent="0.35">
      <c r="A96" s="7" t="str">
        <f>IF(B96&lt;&gt;"","ITM-"&amp;TEXT(92,"000"),"")</f>
        <v>ITM-092</v>
      </c>
      <c r="B96" s="8" t="s">
        <v>104</v>
      </c>
      <c r="C96" s="6" t="s">
        <v>38</v>
      </c>
      <c r="D96" s="8" t="s">
        <v>10</v>
      </c>
      <c r="E96" s="8">
        <v>130</v>
      </c>
      <c r="F96" s="8">
        <v>110</v>
      </c>
    </row>
    <row r="97" spans="1:6" x14ac:dyDescent="0.35">
      <c r="A97" s="7" t="str">
        <f>IF(B97&lt;&gt;"","ITM-"&amp;TEXT(93,"000"),"")</f>
        <v>ITM-093</v>
      </c>
      <c r="B97" s="8" t="s">
        <v>105</v>
      </c>
      <c r="C97" s="6" t="s">
        <v>38</v>
      </c>
      <c r="D97" s="8" t="s">
        <v>10</v>
      </c>
      <c r="E97" s="6">
        <v>150</v>
      </c>
      <c r="F97" s="6">
        <v>115</v>
      </c>
    </row>
    <row r="98" spans="1:6" x14ac:dyDescent="0.35">
      <c r="A98" s="7" t="str">
        <f>IF(B98&lt;&gt;"","ITM-"&amp;TEXT(94,"000"),"")</f>
        <v>ITM-094</v>
      </c>
      <c r="B98" s="8" t="s">
        <v>106</v>
      </c>
      <c r="C98" s="6" t="s">
        <v>38</v>
      </c>
      <c r="D98" s="8" t="s">
        <v>10</v>
      </c>
      <c r="E98" s="8">
        <v>120</v>
      </c>
      <c r="F98" s="8">
        <v>85</v>
      </c>
    </row>
    <row r="99" spans="1:6" x14ac:dyDescent="0.35">
      <c r="A99" s="7" t="str">
        <f>IF(B99&lt;&gt;"","ITM-"&amp;TEXT(95,"000"),"")</f>
        <v>ITM-095</v>
      </c>
      <c r="B99" s="8" t="s">
        <v>107</v>
      </c>
      <c r="C99" s="6" t="s">
        <v>38</v>
      </c>
      <c r="D99" s="6" t="s">
        <v>10</v>
      </c>
      <c r="E99" s="8">
        <v>120</v>
      </c>
      <c r="F99" s="8">
        <v>85</v>
      </c>
    </row>
    <row r="100" spans="1:6" x14ac:dyDescent="0.35">
      <c r="A100" s="7" t="str">
        <f>IF(B100&lt;&gt;"","ITM-"&amp;TEXT(96,"000"),"")</f>
        <v>ITM-096</v>
      </c>
      <c r="B100" s="8" t="s">
        <v>108</v>
      </c>
      <c r="C100" s="6" t="s">
        <v>38</v>
      </c>
      <c r="D100" s="6" t="s">
        <v>10</v>
      </c>
      <c r="E100" s="8">
        <v>120</v>
      </c>
      <c r="F100" s="8">
        <v>86</v>
      </c>
    </row>
    <row r="101" spans="1:6" x14ac:dyDescent="0.35">
      <c r="A101" s="7" t="str">
        <f>IF(B101&lt;&gt;"","ITM-"&amp;TEXT(97,"000"),"")</f>
        <v>ITM-097</v>
      </c>
      <c r="B101" s="6" t="s">
        <v>109</v>
      </c>
      <c r="C101" s="6" t="s">
        <v>38</v>
      </c>
      <c r="D101" s="6" t="s">
        <v>10</v>
      </c>
      <c r="E101" s="8">
        <v>120</v>
      </c>
      <c r="F101" s="8">
        <v>80</v>
      </c>
    </row>
    <row r="102" spans="1:6" x14ac:dyDescent="0.35">
      <c r="A102" s="7" t="str">
        <f>IF(B102&lt;&gt;"","ITM-"&amp;TEXT(98,"000"),"")</f>
        <v>ITM-098</v>
      </c>
      <c r="B102" s="8" t="s">
        <v>110</v>
      </c>
      <c r="C102" s="6" t="s">
        <v>55</v>
      </c>
      <c r="D102" s="6" t="s">
        <v>10</v>
      </c>
      <c r="E102" s="8">
        <v>200</v>
      </c>
      <c r="F102" s="8">
        <v>170</v>
      </c>
    </row>
    <row r="103" spans="1:6" x14ac:dyDescent="0.35">
      <c r="A103" s="7" t="str">
        <f>IF(B103&lt;&gt;"","ITM-"&amp;TEXT(99,"000"),"")</f>
        <v>ITM-099</v>
      </c>
      <c r="B103" s="6" t="s">
        <v>111</v>
      </c>
      <c r="C103" s="6" t="s">
        <v>38</v>
      </c>
      <c r="D103" s="6" t="s">
        <v>10</v>
      </c>
      <c r="E103" s="6">
        <v>80</v>
      </c>
      <c r="F103" s="6">
        <v>54</v>
      </c>
    </row>
    <row r="104" spans="1:6" x14ac:dyDescent="0.35">
      <c r="A104" s="7" t="str">
        <f>IF(B104&lt;&gt;"","ITM-"&amp;TEXT(100,"000"),"")</f>
        <v>ITM-100</v>
      </c>
      <c r="B104" s="8" t="s">
        <v>112</v>
      </c>
      <c r="C104" s="6" t="s">
        <v>113</v>
      </c>
      <c r="D104" s="8" t="s">
        <v>10</v>
      </c>
      <c r="E104" s="8">
        <v>250</v>
      </c>
      <c r="F104" s="8">
        <v>220</v>
      </c>
    </row>
    <row r="105" spans="1:6" x14ac:dyDescent="0.35">
      <c r="A105" s="7" t="str">
        <f>IF(B105&lt;&gt;"","ITM-"&amp;TEXT(101,"000"),"")</f>
        <v>ITM-101</v>
      </c>
      <c r="B105" s="6" t="s">
        <v>114</v>
      </c>
      <c r="C105" s="6" t="s">
        <v>33</v>
      </c>
      <c r="D105" s="6" t="s">
        <v>10</v>
      </c>
      <c r="E105" s="6">
        <v>80</v>
      </c>
      <c r="F105" s="6">
        <v>60</v>
      </c>
    </row>
    <row r="106" spans="1:6" x14ac:dyDescent="0.35">
      <c r="A106" s="7" t="str">
        <f>IF(B106&lt;&gt;"","ITM-"&amp;TEXT(102,"000"),"")</f>
        <v>ITM-102</v>
      </c>
      <c r="B106" s="9" t="s">
        <v>115</v>
      </c>
      <c r="C106" s="6" t="s">
        <v>33</v>
      </c>
      <c r="D106" s="6" t="s">
        <v>10</v>
      </c>
      <c r="E106" s="9">
        <v>50</v>
      </c>
      <c r="F106" s="9">
        <v>35</v>
      </c>
    </row>
    <row r="107" spans="1:6" x14ac:dyDescent="0.35">
      <c r="A107" s="7" t="str">
        <f>IF(B107&lt;&gt;"","ITM-"&amp;TEXT(103,"000"),"")</f>
        <v>ITM-103</v>
      </c>
      <c r="B107" s="10" t="s">
        <v>116</v>
      </c>
      <c r="C107" s="6" t="s">
        <v>113</v>
      </c>
      <c r="D107" s="10" t="s">
        <v>10</v>
      </c>
      <c r="E107" s="10">
        <v>720</v>
      </c>
      <c r="F107" s="10">
        <v>630</v>
      </c>
    </row>
    <row r="108" spans="1:6" x14ac:dyDescent="0.35">
      <c r="A108" s="7" t="str">
        <f>IF(B108&lt;&gt;"","ITM-"&amp;TEXT(104,"000"),"")</f>
        <v>ITM-104</v>
      </c>
      <c r="B108" s="9" t="s">
        <v>118</v>
      </c>
      <c r="C108" s="6" t="s">
        <v>33</v>
      </c>
      <c r="E108" s="9">
        <v>400</v>
      </c>
      <c r="F108" s="9">
        <v>325</v>
      </c>
    </row>
    <row r="109" spans="1:6" x14ac:dyDescent="0.35">
      <c r="A109" s="7" t="str">
        <f>IF(B109&lt;&gt;"","ITM-"&amp;TEXT(105,"000"),"")</f>
        <v>ITM-105</v>
      </c>
      <c r="B109" s="9" t="s">
        <v>119</v>
      </c>
      <c r="C109" s="6" t="s">
        <v>33</v>
      </c>
      <c r="E109" s="10">
        <v>800</v>
      </c>
      <c r="F109" s="10">
        <v>650</v>
      </c>
    </row>
  </sheetData>
  <autoFilter ref="A4:F105" xr:uid="{00000000-0001-0000-0000-000000000000}"/>
  <mergeCells count="3">
    <mergeCell ref="A1:F1"/>
    <mergeCell ref="A2:F2"/>
    <mergeCell ref="A3:F3"/>
  </mergeCells>
  <dataValidations count="2">
    <dataValidation type="list" allowBlank="1" sqref="D5:D106" xr:uid="{AC153FE5-9A65-4D10-8987-4C194B49D7CD}">
      <formula1>"kg,gm,50gm,100gm,200gm,250gm,500gm,litre,ml,packet,piece,dozen,box"</formula1>
    </dataValidation>
    <dataValidation type="list" allowBlank="1" showErrorMessage="1" errorTitle="Invalid Category" error="Choose a valid category" sqref="C5:C84 C89:C109" xr:uid="{423C3C6A-5A70-4065-BBA4-DE97F65CA5A1}">
      <formula1>"Rice/Grain,Dal/Pulses,Spices,Dry Fruits,Oil,Sugar/Salt,Beverages,Snacks,Dairy,Other"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Master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Garg</dc:creator>
  <cp:lastModifiedBy>Ankit Garg</cp:lastModifiedBy>
  <dcterms:created xsi:type="dcterms:W3CDTF">2026-09-22T09:22:43Z</dcterms:created>
  <dcterms:modified xsi:type="dcterms:W3CDTF">2026-09-22T09:29:55Z</dcterms:modified>
</cp:coreProperties>
</file>